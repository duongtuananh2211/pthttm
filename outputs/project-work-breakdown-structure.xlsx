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819" firstSheet="0" activeTab="0" autoFilterDateGrouping="1"/>
  </bookViews>
  <sheets>
    <sheet xmlns:r="http://schemas.openxmlformats.org/officeDocument/2006/relationships" name="WB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m&quot;/&quot;d;@"/>
    <numFmt numFmtId="165" formatCode="0.0"/>
    <numFmt numFmtId="166" formatCode="dd/mm"/>
    <numFmt numFmtId="167" formatCode="dd/mm/yyyy"/>
    <numFmt numFmtId="168" formatCode="yyyy-mm-dd h:mm:ss"/>
  </numFmts>
  <fonts count="1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Samsung Sharp Sans"/>
      <color theme="1"/>
      <sz val="14"/>
      <u val="single"/>
    </font>
    <font>
      <name val="SamsungOne 400"/>
      <family val="2"/>
      <b val="1"/>
      <color theme="0"/>
      <sz val="11"/>
    </font>
    <font>
      <name val="SamsungOne 400"/>
      <family val="2"/>
      <b val="1"/>
      <sz val="10"/>
    </font>
    <font>
      <name val="SamsungOne 400"/>
      <family val="2"/>
      <color theme="1"/>
      <sz val="11"/>
    </font>
    <font>
      <name val="SamsungOne 400"/>
      <family val="2"/>
      <b val="1"/>
      <sz val="11"/>
    </font>
    <font>
      <name val="SamsungOne 400"/>
      <family val="2"/>
      <sz val="11"/>
    </font>
    <font>
      <name val="SamsungOne 400"/>
      <b val="1"/>
      <color theme="1"/>
      <sz val="11"/>
    </font>
    <font>
      <name val="SamsungOne 400"/>
      <color theme="1"/>
      <sz val="11"/>
    </font>
    <font>
      <name val="SamsungOne 400"/>
      <b val="1"/>
      <sz val="11"/>
    </font>
    <font>
      <name val="SamsungOne 400"/>
      <sz val="11"/>
    </font>
    <font>
      <name val="SamsungOne 400"/>
      <i val="1"/>
      <sz val="11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DCE5FA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"/>
        <bgColor indexed="64"/>
      </patternFill>
    </fill>
  </fills>
  <borders count="3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</borders>
  <cellStyleXfs count="1">
    <xf numFmtId="0" fontId="0" fillId="0" borderId="0" applyAlignment="1">
      <alignment vertical="center"/>
    </xf>
  </cellStyleXfs>
  <cellXfs count="84">
    <xf numFmtId="0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4" fillId="5" borderId="5" applyAlignment="1" pivotButton="0" quotePrefix="0" xfId="0">
      <alignment horizontal="center" vertical="center" wrapText="1" readingOrder="1"/>
    </xf>
    <xf numFmtId="0" fontId="4" fillId="5" borderId="1" applyAlignment="1" pivotButton="0" quotePrefix="0" xfId="0">
      <alignment horizontal="center" vertical="center" wrapText="1" readingOrder="1"/>
    </xf>
    <xf numFmtId="0" fontId="4" fillId="5" borderId="6" applyAlignment="1" pivotButton="0" quotePrefix="0" xfId="0">
      <alignment horizontal="center" vertical="center" wrapText="1" readingOrder="1"/>
    </xf>
    <xf numFmtId="0" fontId="5" fillId="0" borderId="5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 indent="1"/>
    </xf>
    <xf numFmtId="14" fontId="5" fillId="0" borderId="1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5" fillId="9" borderId="5" applyAlignment="1" pivotButton="0" quotePrefix="0" xfId="0">
      <alignment vertical="center"/>
    </xf>
    <xf numFmtId="0" fontId="5" fillId="9" borderId="1" applyAlignment="1" pivotButton="0" quotePrefix="0" xfId="0">
      <alignment vertical="center"/>
    </xf>
    <xf numFmtId="0" fontId="5" fillId="0" borderId="6" applyAlignment="1" pivotButton="0" quotePrefix="0" xfId="0">
      <alignment vertical="center"/>
    </xf>
    <xf numFmtId="0" fontId="5" fillId="6" borderId="5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5" fillId="7" borderId="5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5" fillId="8" borderId="5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0" borderId="7" applyAlignment="1" pivotButton="0" quotePrefix="0" xfId="0">
      <alignment vertical="center"/>
    </xf>
    <xf numFmtId="0" fontId="5" fillId="0" borderId="8" applyAlignment="1" pivotButton="0" quotePrefix="0" xfId="0">
      <alignment vertical="center"/>
    </xf>
    <xf numFmtId="0" fontId="5" fillId="0" borderId="8" applyAlignment="1" pivotButton="0" quotePrefix="0" xfId="0">
      <alignment horizontal="left" vertical="center" indent="1"/>
    </xf>
    <xf numFmtId="0" fontId="5" fillId="0" borderId="8" applyAlignment="1" pivotButton="0" quotePrefix="0" xfId="0">
      <alignment horizontal="center" vertical="center"/>
    </xf>
    <xf numFmtId="0" fontId="5" fillId="0" borderId="15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/>
    </xf>
    <xf numFmtId="0" fontId="2" fillId="2" borderId="17" applyAlignment="1" pivotButton="0" quotePrefix="0" xfId="0">
      <alignment vertical="center"/>
    </xf>
    <xf numFmtId="0" fontId="0" fillId="2" borderId="18" applyAlignment="1" pivotButton="0" quotePrefix="0" xfId="0">
      <alignment vertical="center"/>
    </xf>
    <xf numFmtId="0" fontId="0" fillId="2" borderId="19" applyAlignment="1" pivotButton="0" quotePrefix="0" xfId="0">
      <alignment vertical="center"/>
    </xf>
    <xf numFmtId="0" fontId="3" fillId="10" borderId="17" applyAlignment="1" pivotButton="0" quotePrefix="0" xfId="0">
      <alignment vertical="center"/>
    </xf>
    <xf numFmtId="0" fontId="3" fillId="10" borderId="19" applyAlignment="1" pivotButton="0" quotePrefix="0" xfId="0">
      <alignment vertical="center"/>
    </xf>
    <xf numFmtId="0" fontId="3" fillId="10" borderId="18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4" fontId="7" fillId="0" borderId="6" applyAlignment="1" pivotButton="0" quotePrefix="0" xfId="0">
      <alignment horizontal="center" vertical="center"/>
    </xf>
    <xf numFmtId="164" fontId="7" fillId="0" borderId="5" applyAlignment="1" pivotButton="0" quotePrefix="0" xfId="0">
      <alignment horizontal="center" vertical="center"/>
    </xf>
    <xf numFmtId="14" fontId="6" fillId="2" borderId="2" applyAlignment="1" pivotButton="0" quotePrefix="0" xfId="0">
      <alignment vertical="center"/>
    </xf>
    <xf numFmtId="165" fontId="5" fillId="11" borderId="2" applyAlignment="1" pivotButton="0" quotePrefix="0" xfId="0">
      <alignment vertical="center"/>
    </xf>
    <xf numFmtId="0" fontId="3" fillId="10" borderId="3" applyAlignment="1" pivotButton="0" quotePrefix="0" xfId="0">
      <alignment horizontal="center" vertical="center"/>
    </xf>
    <xf numFmtId="0" fontId="3" fillId="10" borderId="4" applyAlignment="1" pivotButton="0" quotePrefix="0" xfId="0">
      <alignment horizontal="center" vertical="center"/>
    </xf>
    <xf numFmtId="0" fontId="3" fillId="10" borderId="5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0" borderId="16" applyAlignment="1" pivotButton="0" quotePrefix="0" xfId="0">
      <alignment horizontal="center" vertical="center"/>
    </xf>
    <xf numFmtId="0" fontId="3" fillId="10" borderId="11" applyAlignment="1" pivotButton="0" quotePrefix="0" xfId="0">
      <alignment horizontal="center" vertical="center"/>
    </xf>
    <xf numFmtId="0" fontId="3" fillId="10" borderId="12" applyAlignment="1" pivotButton="0" quotePrefix="0" xfId="0">
      <alignment horizontal="center" vertical="center"/>
    </xf>
    <xf numFmtId="0" fontId="3" fillId="10" borderId="10" applyAlignment="1" pivotButton="0" quotePrefix="0" xfId="0">
      <alignment horizontal="center" vertical="center"/>
    </xf>
    <xf numFmtId="0" fontId="3" fillId="10" borderId="13" applyAlignment="1" pivotButton="0" quotePrefix="0" xfId="0">
      <alignment horizontal="center" vertical="center"/>
    </xf>
    <xf numFmtId="0" fontId="3" fillId="10" borderId="1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10" borderId="27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21" pivotButton="0" quotePrefix="0" xfId="0"/>
    <xf numFmtId="0" fontId="0" fillId="0" borderId="23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31" pivotButton="0" quotePrefix="0" xfId="0"/>
    <xf numFmtId="0" fontId="0" fillId="0" borderId="32" pivotButton="0" quotePrefix="0" xfId="0"/>
    <xf numFmtId="166" fontId="7" fillId="0" borderId="5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/>
    </xf>
    <xf numFmtId="166" fontId="7" fillId="0" borderId="6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 wrapText="1"/>
    </xf>
    <xf numFmtId="0" fontId="0" fillId="0" borderId="35" pivotButton="0" quotePrefix="0" xfId="0"/>
    <xf numFmtId="0" fontId="0" fillId="0" borderId="36" pivotButton="0" quotePrefix="0" xfId="0"/>
    <xf numFmtId="167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14" fontId="5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167" fontId="5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 patternType="solid">
          <fgColor theme="8" tint="-0.499984740745262"/>
          <bgColor theme="8" tint="-0.499984740745262"/>
        </patternFill>
      </fill>
    </dxf>
    <dxf>
      <fill>
        <patternFill patternType="solid">
          <fgColor theme="8" tint="-0.249977111117893"/>
          <bgColor theme="8" tint="-0.249977111117893"/>
        </patternFill>
      </fill>
    </dxf>
    <dxf>
      <fill>
        <patternFill patternType="solid">
          <fgColor theme="8" tint="0.3999755851924192"/>
          <bgColor theme="8" tint="0.399975585192419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Nhóm 11</author>
  </authors>
  <commentList>
    <comment ref="K13" authorId="0" shapeId="0">
      <text>
        <t>Ngày bắt đầu dự án (D1). Các ngày D2–D20 tự tính bằng WORKDAY (bỏ thứ 7, CN).</t>
      </text>
    </comment>
  </commentList>
</comment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D66"/>
  <sheetViews>
    <sheetView tabSelected="1" zoomScale="70" zoomScaleNormal="70" workbookViewId="0">
      <pane xSplit="10" ySplit="13" topLeftCell="K14" activePane="bottomRight" state="frozen"/>
      <selection pane="topRight" activeCell="K1" sqref="K1"/>
      <selection pane="bottomLeft" activeCell="A16" sqref="A16"/>
      <selection pane="bottomRight" activeCell="G19" sqref="G19"/>
    </sheetView>
  </sheetViews>
  <sheetFormatPr baseColWidth="8" defaultColWidth="8.5546875" defaultRowHeight="14.4"/>
  <cols>
    <col width="2.44140625" customWidth="1" style="1" min="1" max="1"/>
    <col width="6.88671875" customWidth="1" style="1" min="2" max="4"/>
    <col width="57.44140625" customWidth="1" style="1" min="5" max="5"/>
    <col outlineLevel="1" width="12.109375" customWidth="1" style="33" min="6" max="7"/>
    <col outlineLevel="1" width="24" customWidth="1" style="1" min="8" max="8"/>
    <col outlineLevel="1" width="34" customWidth="1" style="33" min="9" max="9"/>
    <col outlineLevel="1" width="12.109375" customWidth="1" style="33" min="10" max="10"/>
    <col width="6.88671875" customWidth="1" style="1" min="11" max="30"/>
    <col width="8.5546875" customWidth="1" style="1" min="31" max="16384"/>
  </cols>
  <sheetData>
    <row r="1" ht="15" customHeight="1" s="50" thickBot="1"/>
    <row r="2" ht="18" customHeight="1" s="50" thickBot="1">
      <c r="B2" s="27" t="inlineStr">
        <is>
          <t>Project Work Breakdown Structure (WBS)</t>
        </is>
      </c>
      <c r="C2" s="28" t="n"/>
      <c r="D2" s="28" t="n"/>
      <c r="E2" s="29" t="n"/>
    </row>
    <row r="3" hidden="1" s="50">
      <c r="B3" s="2" t="n"/>
      <c r="C3" s="2" t="n"/>
      <c r="D3" s="2" t="n"/>
      <c r="E3" s="2" t="n"/>
      <c r="J3" s="34" t="inlineStr">
        <is>
          <t>Done</t>
        </is>
      </c>
    </row>
    <row r="4" hidden="1" s="50">
      <c r="B4" s="2" t="n"/>
      <c r="C4" s="2" t="n"/>
      <c r="D4" s="2" t="n"/>
      <c r="E4" s="2" t="n"/>
      <c r="J4" s="34" t="inlineStr">
        <is>
          <t>In-progress</t>
        </is>
      </c>
    </row>
    <row r="5" hidden="1" s="50">
      <c r="B5" s="2" t="n"/>
      <c r="C5" s="2" t="n"/>
      <c r="D5" s="2" t="n"/>
      <c r="E5" s="2" t="n"/>
      <c r="J5" s="34" t="inlineStr">
        <is>
          <t>Delayed</t>
        </is>
      </c>
    </row>
    <row r="6" ht="15" customHeight="1" s="50" thickBot="1">
      <c r="J6" s="34" t="n"/>
    </row>
    <row r="7" ht="15" customHeight="1" s="50" thickBot="1">
      <c r="B7" s="30" t="inlineStr">
        <is>
          <t>Today</t>
        </is>
      </c>
      <c r="C7" s="32" t="n"/>
      <c r="D7" s="31" t="n"/>
      <c r="E7" s="38">
        <f>TODAY()</f>
        <v>46308</v>
      </c>
    </row>
    <row r="8" ht="15" customHeight="1" s="50" thickBot="1">
      <c r="B8" s="30" t="inlineStr">
        <is>
          <t>Project Team Name</t>
        </is>
      </c>
      <c r="C8" s="32" t="n"/>
      <c r="D8" s="31" t="n"/>
      <c r="E8" s="39" t="inlineStr">
        <is>
          <t>Nhóm 11</t>
        </is>
      </c>
    </row>
    <row r="9" ht="15" customHeight="1" s="50" thickBot="1">
      <c r="B9" s="30" t="inlineStr">
        <is>
          <t>Project Topic</t>
        </is>
      </c>
      <c r="C9" s="32" t="n"/>
      <c r="D9" s="31" t="n"/>
      <c r="E9" s="39" t="inlineStr">
        <is>
          <t>Hệ thống chấm công thông minh bằng nhận diện khuôn mặt</t>
        </is>
      </c>
    </row>
    <row r="10" ht="15" customHeight="1" s="50" thickBot="1"/>
    <row r="11">
      <c r="B11" s="40" t="inlineStr">
        <is>
          <t>Task</t>
        </is>
      </c>
      <c r="C11" s="51" t="n"/>
      <c r="D11" s="51" t="n"/>
      <c r="E11" s="52" t="n"/>
      <c r="F11" s="41" t="inlineStr">
        <is>
          <t>Start date</t>
        </is>
      </c>
      <c r="G11" s="41" t="inlineStr">
        <is>
          <t>End date</t>
        </is>
      </c>
      <c r="H11" s="41" t="inlineStr">
        <is>
          <t>Responsibility</t>
        </is>
      </c>
      <c r="I11" s="41" t="inlineStr">
        <is>
          <t>Deliverable</t>
        </is>
      </c>
      <c r="J11" s="47" t="inlineStr">
        <is>
          <t>Task Status</t>
        </is>
      </c>
      <c r="K11" s="40" t="inlineStr">
        <is>
          <t>W1</t>
        </is>
      </c>
      <c r="L11" s="53" t="n"/>
      <c r="M11" s="53" t="n"/>
      <c r="N11" s="53" t="n"/>
      <c r="O11" s="54" t="n"/>
      <c r="P11" s="41" t="inlineStr">
        <is>
          <t>W2</t>
        </is>
      </c>
      <c r="Q11" s="53" t="n"/>
      <c r="R11" s="53" t="n"/>
      <c r="S11" s="53" t="n"/>
      <c r="T11" s="54" t="n"/>
      <c r="U11" s="41" t="inlineStr">
        <is>
          <t>W3</t>
        </is>
      </c>
      <c r="V11" s="53" t="n"/>
      <c r="W11" s="53" t="n"/>
      <c r="X11" s="53" t="n"/>
      <c r="Y11" s="54" t="n"/>
      <c r="Z11" s="55" t="inlineStr">
        <is>
          <t>W4</t>
        </is>
      </c>
      <c r="AA11" s="53" t="n"/>
      <c r="AB11" s="53" t="n"/>
      <c r="AC11" s="53" t="n"/>
      <c r="AD11" s="56" t="n"/>
    </row>
    <row r="12">
      <c r="B12" s="57" t="n"/>
      <c r="E12" s="58" t="n"/>
      <c r="F12" s="59" t="n"/>
      <c r="G12" s="59" t="n"/>
      <c r="H12" s="59" t="n"/>
      <c r="I12" s="59" t="n"/>
      <c r="J12" s="60" t="n"/>
      <c r="K12" s="3" t="inlineStr">
        <is>
          <t>D1</t>
        </is>
      </c>
      <c r="L12" s="4" t="inlineStr">
        <is>
          <t>D2</t>
        </is>
      </c>
      <c r="M12" s="4" t="inlineStr">
        <is>
          <t>D3</t>
        </is>
      </c>
      <c r="N12" s="4" t="inlineStr">
        <is>
          <t>D4</t>
        </is>
      </c>
      <c r="O12" s="4" t="inlineStr">
        <is>
          <t>D5</t>
        </is>
      </c>
      <c r="P12" s="4" t="inlineStr">
        <is>
          <t>D6</t>
        </is>
      </c>
      <c r="Q12" s="4" t="inlineStr">
        <is>
          <t>D7</t>
        </is>
      </c>
      <c r="R12" s="4" t="inlineStr">
        <is>
          <t>D8</t>
        </is>
      </c>
      <c r="S12" s="4" t="inlineStr">
        <is>
          <t>D9</t>
        </is>
      </c>
      <c r="T12" s="4" t="inlineStr">
        <is>
          <t>D10</t>
        </is>
      </c>
      <c r="U12" s="4" t="inlineStr">
        <is>
          <t>D11</t>
        </is>
      </c>
      <c r="V12" s="4" t="inlineStr">
        <is>
          <t>D12</t>
        </is>
      </c>
      <c r="W12" s="4" t="inlineStr">
        <is>
          <t>D13</t>
        </is>
      </c>
      <c r="X12" s="4" t="inlineStr">
        <is>
          <t>D14</t>
        </is>
      </c>
      <c r="Y12" s="4" t="inlineStr">
        <is>
          <t>D15</t>
        </is>
      </c>
      <c r="Z12" s="4" t="inlineStr">
        <is>
          <t>D16</t>
        </is>
      </c>
      <c r="AA12" s="4" t="inlineStr">
        <is>
          <t>D17</t>
        </is>
      </c>
      <c r="AB12" s="4" t="inlineStr">
        <is>
          <t>D18</t>
        </is>
      </c>
      <c r="AC12" s="4" t="inlineStr">
        <is>
          <t>D19</t>
        </is>
      </c>
      <c r="AD12" s="5" t="inlineStr">
        <is>
          <t>D20</t>
        </is>
      </c>
    </row>
    <row r="13">
      <c r="B13" s="61" t="n"/>
      <c r="C13" s="62" t="n"/>
      <c r="D13" s="62" t="n"/>
      <c r="E13" s="63" t="n"/>
      <c r="F13" s="64" t="n"/>
      <c r="G13" s="64" t="n"/>
      <c r="H13" s="64" t="n"/>
      <c r="I13" s="64" t="n"/>
      <c r="J13" s="65" t="n"/>
      <c r="K13" s="66" t="n">
        <v>46314</v>
      </c>
      <c r="L13" s="67">
        <f>WORKDAY(K13,1)</f>
        <v>46315</v>
      </c>
      <c r="M13" s="67">
        <f>WORKDAY(L13,1)</f>
        <v>46316</v>
      </c>
      <c r="N13" s="67">
        <f>WORKDAY(M13,1)</f>
        <v>46317</v>
      </c>
      <c r="O13" s="67">
        <f>WORKDAY(N13,1)</f>
        <v>46318</v>
      </c>
      <c r="P13" s="67">
        <f>WORKDAY(O13,1)</f>
        <v>46321</v>
      </c>
      <c r="Q13" s="67">
        <f>WORKDAY(P13,1)</f>
        <v>46322</v>
      </c>
      <c r="R13" s="67">
        <f>WORKDAY(Q13,1)</f>
        <v>46323</v>
      </c>
      <c r="S13" s="67">
        <f>WORKDAY(R13,1)</f>
        <v>46324</v>
      </c>
      <c r="T13" s="67">
        <f>WORKDAY(S13,1)</f>
        <v>46325</v>
      </c>
      <c r="U13" s="67">
        <f>WORKDAY(T13,1)</f>
        <v>46328</v>
      </c>
      <c r="V13" s="67">
        <f>WORKDAY(U13,1)</f>
        <v>46329</v>
      </c>
      <c r="W13" s="67">
        <f>WORKDAY(V13,1)</f>
        <v>46330</v>
      </c>
      <c r="X13" s="67">
        <f>WORKDAY(W13,1)</f>
        <v>46331</v>
      </c>
      <c r="Y13" s="67">
        <f>WORKDAY(X13,1)</f>
        <v>46332</v>
      </c>
      <c r="Z13" s="67">
        <f>WORKDAY(Y13,1)</f>
        <v>46335</v>
      </c>
      <c r="AA13" s="67">
        <f>WORKDAY(Z13,1)</f>
        <v>46336</v>
      </c>
      <c r="AB13" s="67">
        <f>WORKDAY(AA13,1)</f>
        <v>46337</v>
      </c>
      <c r="AC13" s="67">
        <f>WORKDAY(AB13,1)</f>
        <v>46338</v>
      </c>
      <c r="AD13" s="68">
        <f>WORKDAY(AC13,1)</f>
        <v>46339</v>
      </c>
    </row>
    <row r="14" ht="33" customHeight="1" s="50">
      <c r="B14" s="69" t="inlineStr">
        <is>
          <t>1. Khởi động và lập kế hoạch</t>
        </is>
      </c>
      <c r="C14" s="70" t="n"/>
      <c r="D14" s="70" t="n"/>
      <c r="E14" s="71" t="n"/>
      <c r="F14" s="72">
        <f>MIN(F15,F16,F17,F18)</f>
        <v>46307</v>
      </c>
      <c r="G14" s="72">
        <f>MAX(G15,G16,G17,G18)</f>
        <v>46316</v>
      </c>
      <c r="H14" s="73" t="inlineStr">
        <is>
          <t>Dương Tuấn Anh</t>
        </is>
      </c>
      <c r="I14" s="74" t="inlineStr">
        <is>
          <t>Kế hoạch dự án, WBS, mô tả nghiệp vụ, môi trường</t>
        </is>
      </c>
      <c r="J14" s="10" t="inlineStr">
        <is>
          <t>In-progress</t>
        </is>
      </c>
      <c r="K14" s="6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13" t="n"/>
    </row>
    <row r="15" ht="18" customHeight="1" s="50">
      <c r="B15" s="6" t="n"/>
      <c r="C15" s="75" t="inlineStr">
        <is>
          <t>1.1. Lập kế hoạch dự án (Action Plan)</t>
        </is>
      </c>
      <c r="D15" s="70" t="n"/>
      <c r="E15" s="71" t="n"/>
      <c r="F15" s="72" t="n">
        <v>46307</v>
      </c>
      <c r="G15" s="72" t="n">
        <v>46307</v>
      </c>
      <c r="H15" s="73" t="inlineStr">
        <is>
          <t>Dương Tuấn Anh</t>
        </is>
      </c>
      <c r="I15" s="74" t="inlineStr">
        <is>
          <t>project-action-plan.md</t>
        </is>
      </c>
      <c r="J15" s="10" t="inlineStr">
        <is>
          <t>Done</t>
        </is>
      </c>
      <c r="K15" s="6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13" t="n"/>
    </row>
    <row r="16" ht="18" customHeight="1" s="50">
      <c r="B16" s="6" t="n"/>
      <c r="C16" s="75" t="inlineStr">
        <is>
          <t>1.2. Lập WBS</t>
        </is>
      </c>
      <c r="D16" s="70" t="n"/>
      <c r="E16" s="71" t="n"/>
      <c r="F16" s="72" t="n">
        <v>46307</v>
      </c>
      <c r="G16" s="72" t="n">
        <v>46307</v>
      </c>
      <c r="H16" s="73" t="inlineStr">
        <is>
          <t>Dương Tuấn Anh</t>
        </is>
      </c>
      <c r="I16" s="74" t="inlineStr">
        <is>
          <t>project-work-breakdown-structure.md</t>
        </is>
      </c>
      <c r="J16" s="10" t="inlineStr">
        <is>
          <t>Done</t>
        </is>
      </c>
      <c r="K16" s="6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13" t="n"/>
    </row>
    <row r="17" ht="33" customHeight="1" s="50">
      <c r="B17" s="6" t="n"/>
      <c r="C17" s="75" t="inlineStr">
        <is>
          <t>1.3. Khảo sát nghiệp vụ chấm công, phát biểu bài toán ML, xác định yêu cầu dữ liệu</t>
        </is>
      </c>
      <c r="D17" s="70" t="n"/>
      <c r="E17" s="71" t="n"/>
      <c r="F17" s="72" t="n">
        <v>46314</v>
      </c>
      <c r="G17" s="72" t="n">
        <v>46315</v>
      </c>
      <c r="H17" s="73" t="inlineStr">
        <is>
          <t>Dương Tuấn Anh</t>
        </is>
      </c>
      <c r="I17" s="74" t="inlineStr">
        <is>
          <t>Mô tả nghiệp vụ, yêu cầu hệ thống, quy trình thu dữ liệu</t>
        </is>
      </c>
      <c r="J17" s="10" t="n"/>
      <c r="K17" s="6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13" t="n"/>
    </row>
    <row r="18" ht="33" customHeight="1" s="50">
      <c r="B18" s="6" t="n"/>
      <c r="C18" s="75" t="inlineStr">
        <is>
          <t>1.4. Chốt công nghệ, dựng repo và môi trường</t>
        </is>
      </c>
      <c r="D18" s="70" t="n"/>
      <c r="E18" s="71" t="n"/>
      <c r="F18" s="72" t="n">
        <v>46315</v>
      </c>
      <c r="G18" s="72" t="n">
        <v>46316</v>
      </c>
      <c r="H18" s="73" t="inlineStr">
        <is>
          <t>Dương Tuấn Anh, Bùi Như Quỳnh</t>
        </is>
      </c>
      <c r="I18" s="74" t="inlineStr">
        <is>
          <t>Repo, môi trường Python chạy được</t>
        </is>
      </c>
      <c r="J18" s="10" t="n"/>
      <c r="K18" s="6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13" t="n"/>
    </row>
    <row r="19" ht="33" customHeight="1" s="50">
      <c r="B19" s="69" t="inlineStr">
        <is>
          <t>2. Dữ liệu</t>
        </is>
      </c>
      <c r="C19" s="70" t="n"/>
      <c r="D19" s="70" t="n"/>
      <c r="E19" s="71" t="n"/>
      <c r="F19" s="72">
        <f>MIN(F20,F23,F28,F29)</f>
        <v>46314</v>
      </c>
      <c r="G19" s="72">
        <f>MAX(G20,G23,G28,G29)</f>
        <v>46322</v>
      </c>
      <c r="H19" s="73" t="inlineStr">
        <is>
          <t>Trần Lâm Phong</t>
        </is>
      </c>
      <c r="I19" s="74" t="inlineStr">
        <is>
          <t>Bộ dữ liệu sạch chia theo buổi, báo cáo EDA</t>
        </is>
      </c>
      <c r="J19" s="10" t="n"/>
      <c r="K19" s="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13" t="n"/>
    </row>
    <row r="20" ht="18" customHeight="1" s="50">
      <c r="B20" s="6" t="n"/>
      <c r="C20" s="75" t="inlineStr">
        <is>
          <t>2.1. Chuẩn bị thu thập</t>
        </is>
      </c>
      <c r="D20" s="70" t="n"/>
      <c r="E20" s="71" t="n"/>
      <c r="F20" s="72">
        <f>MIN(F21,F22)</f>
        <v>46314</v>
      </c>
      <c r="G20" s="72">
        <f>MAX(G21,G22)</f>
        <v>46315</v>
      </c>
      <c r="H20" s="73" t="inlineStr">
        <is>
          <t>Trần Lâm Phong</t>
        </is>
      </c>
      <c r="I20" s="74" t="inlineStr">
        <is>
          <t>Phiếu đồng ý, công cụ chụp ảnh</t>
        </is>
      </c>
      <c r="J20" s="10" t="n"/>
      <c r="K20" s="6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13" t="n"/>
    </row>
    <row r="21" ht="18" customHeight="1" s="50">
      <c r="B21" s="6" t="n"/>
      <c r="C21" s="7" t="n"/>
      <c r="D21" s="75" t="inlineStr">
        <is>
          <t>2.1.1. Soạn phiếu đồng ý, mời người tham gia</t>
        </is>
      </c>
      <c r="E21" s="71" t="n"/>
      <c r="F21" s="72" t="n">
        <v>46314</v>
      </c>
      <c r="G21" s="72" t="n">
        <v>46315</v>
      </c>
      <c r="H21" s="73" t="inlineStr">
        <is>
          <t>Trần Lâm Phong</t>
        </is>
      </c>
      <c r="I21" s="74" t="inlineStr">
        <is>
          <t>Phiếu đồng ý đã ký (6 người)</t>
        </is>
      </c>
      <c r="J21" s="10" t="n"/>
      <c r="K21" s="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13" t="n"/>
    </row>
    <row r="22" ht="18" customHeight="1" s="50">
      <c r="B22" s="6" t="n"/>
      <c r="C22" s="7" t="n"/>
      <c r="D22" s="75" t="inlineStr">
        <is>
          <t>2.1.2. Công cụ chụp ảnh từ webcam, quy ước đặt tên file và nhãn</t>
        </is>
      </c>
      <c r="E22" s="71" t="n"/>
      <c r="F22" s="72" t="n">
        <v>46314</v>
      </c>
      <c r="G22" s="72" t="n">
        <v>46315</v>
      </c>
      <c r="H22" s="73" t="inlineStr">
        <is>
          <t>Bùi Như Quỳnh</t>
        </is>
      </c>
      <c r="I22" s="74" t="inlineStr">
        <is>
          <t>Script chụp ảnh, quy ước đặt tên</t>
        </is>
      </c>
      <c r="J22" s="10" t="n"/>
      <c r="K22" s="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13" t="n"/>
    </row>
    <row r="23" ht="18" customHeight="1" s="50">
      <c r="B23" s="6" t="n"/>
      <c r="C23" s="75" t="inlineStr">
        <is>
          <t>2.2. Thu thập dữ liệu</t>
        </is>
      </c>
      <c r="D23" s="70" t="n"/>
      <c r="E23" s="71" t="n"/>
      <c r="F23" s="72">
        <f>MIN(F24,F25,F26,F27)</f>
        <v>46315</v>
      </c>
      <c r="G23" s="72">
        <f>MAX(G24,G25,G26,G27)</f>
        <v>46318</v>
      </c>
      <c r="H23" s="73" t="inlineStr">
        <is>
          <t>Trần Lâm Phong</t>
        </is>
      </c>
      <c r="I23" s="74" t="inlineStr">
        <is>
          <t>Dữ liệu thô</t>
        </is>
      </c>
      <c r="J23" s="10" t="n"/>
      <c r="K23" s="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13" t="n"/>
    </row>
    <row r="24" ht="33" customHeight="1" s="50">
      <c r="B24" s="6" t="n"/>
      <c r="C24" s="7" t="n"/>
      <c r="D24" s="75" t="inlineStr">
        <is>
          <t>2.2.1. Buổi A: chụp khuôn mặt (nhiều góc, ánh sáng, kính, khẩu trang)</t>
        </is>
      </c>
      <c r="E24" s="71" t="n"/>
      <c r="F24" s="72" t="n">
        <v>46315</v>
      </c>
      <c r="G24" s="72" t="n">
        <v>46316</v>
      </c>
      <c r="H24" s="73" t="inlineStr">
        <is>
          <t>Trần Lâm Phong, Cả nhóm</t>
        </is>
      </c>
      <c r="I24" s="74" t="inlineStr">
        <is>
          <t>20–30 ảnh/người (tập đăng ký + validation)</t>
        </is>
      </c>
      <c r="J24" s="10" t="n"/>
      <c r="K24" s="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13" t="n"/>
    </row>
    <row r="25" ht="33" customHeight="1" s="50">
      <c r="B25" s="6" t="n"/>
      <c r="C25" s="7" t="n"/>
      <c r="D25" s="75" t="inlineStr">
        <is>
          <t>2.2.2. Tải LFW, tập con CelebA-Spoof và mô hình huấn luyện sẵn (SCRFD, ArcFace, MiniFASNet)</t>
        </is>
      </c>
      <c r="E25" s="71" t="n"/>
      <c r="F25" s="72" t="n">
        <v>46316</v>
      </c>
      <c r="G25" s="72" t="n">
        <v>46316</v>
      </c>
      <c r="H25" s="73" t="inlineStr">
        <is>
          <t>Bùi Như Quỳnh</t>
        </is>
      </c>
      <c r="I25" s="74" t="inlineStr">
        <is>
          <t>Dữ liệu công khai, trọng số mô hình</t>
        </is>
      </c>
      <c r="J25" s="10" t="n"/>
      <c r="K25" s="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13" t="n"/>
    </row>
    <row r="26" ht="33" customHeight="1" s="50">
      <c r="B26" s="6" t="n"/>
      <c r="C26" s="7" t="n"/>
      <c r="D26" s="75" t="inlineStr">
        <is>
          <t>2.2.3. Chụp ảnh tấn công giả mạo (ảnh in, màn hình)</t>
        </is>
      </c>
      <c r="E26" s="71" t="n"/>
      <c r="F26" s="72" t="n">
        <v>46317</v>
      </c>
      <c r="G26" s="72" t="n">
        <v>46317</v>
      </c>
      <c r="H26" s="73" t="inlineStr">
        <is>
          <t>Trần Lâm Phong, Bùi Như Quỳnh</t>
        </is>
      </c>
      <c r="I26" s="74" t="inlineStr">
        <is>
          <t>Tập ảnh giả mạo có nhãn</t>
        </is>
      </c>
      <c r="J26" s="10" t="n"/>
      <c r="K26" s="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13" t="n"/>
    </row>
    <row r="27" ht="18" customHeight="1" s="50">
      <c r="B27" s="6" t="n"/>
      <c r="C27" s="7" t="n"/>
      <c r="D27" s="75" t="inlineStr">
        <is>
          <t>2.2.4. Buổi B: chụp lại ở ngày và vị trí khác</t>
        </is>
      </c>
      <c r="E27" s="71" t="n"/>
      <c r="F27" s="72" t="n">
        <v>46318</v>
      </c>
      <c r="G27" s="72" t="n">
        <v>46318</v>
      </c>
      <c r="H27" s="73" t="inlineStr">
        <is>
          <t>Trần Lâm Phong, Cả nhóm</t>
        </is>
      </c>
      <c r="I27" s="74" t="inlineStr">
        <is>
          <t>20–30 ảnh/người (tập test)</t>
        </is>
      </c>
      <c r="J27" s="10" t="n"/>
      <c r="K27" s="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13" t="n"/>
    </row>
    <row r="28" ht="33" customHeight="1" s="50">
      <c r="B28" s="6" t="n"/>
      <c r="C28" s="75" t="inlineStr">
        <is>
          <t>2.3. Làm sạch (dùng SCRFD có sẵn), gán nhãn, loại ảnh gần trùng, chia tập theo buổi</t>
        </is>
      </c>
      <c r="D28" s="70" t="n"/>
      <c r="E28" s="71" t="n"/>
      <c r="F28" s="72" t="n">
        <v>46317</v>
      </c>
      <c r="G28" s="72" t="n">
        <v>46321</v>
      </c>
      <c r="H28" s="73" t="inlineStr">
        <is>
          <t>Trần Lâm Phong</t>
        </is>
      </c>
      <c r="I28" s="74" t="inlineStr">
        <is>
          <t>Bộ dữ liệu v1: đăng ký/validation (buổi A), test (buổi B), tập giả mạo</t>
        </is>
      </c>
      <c r="J28" s="10" t="n"/>
      <c r="K28" s="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13" t="n"/>
    </row>
    <row r="29" ht="33" customHeight="1" s="50">
      <c r="B29" s="6" t="n"/>
      <c r="C29" s="75" t="inlineStr">
        <is>
          <t>2.4. Phân tích dữ liệu khám phá (EDA)</t>
        </is>
      </c>
      <c r="D29" s="70" t="n"/>
      <c r="E29" s="71" t="n"/>
      <c r="F29" s="72" t="n">
        <v>46321</v>
      </c>
      <c r="G29" s="72" t="n">
        <v>46322</v>
      </c>
      <c r="H29" s="73" t="inlineStr">
        <is>
          <t>Trần Lâm Phong</t>
        </is>
      </c>
      <c r="I29" s="74" t="inlineStr">
        <is>
          <t>Thống kê, biểu đồ, t-SNE embedding (ArcFace có sẵn)</t>
        </is>
      </c>
      <c r="J29" s="10" t="n"/>
      <c r="K29" s="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13" t="n"/>
    </row>
    <row r="30" ht="33" customHeight="1" s="50">
      <c r="B30" s="69" t="inlineStr">
        <is>
          <t>3. Mô hình AI</t>
        </is>
      </c>
      <c r="C30" s="70" t="n"/>
      <c r="D30" s="70" t="n"/>
      <c r="E30" s="71" t="n"/>
      <c r="F30" s="72">
        <f>MIN(F31,F35,F36,F37)</f>
        <v>46318</v>
      </c>
      <c r="G30" s="72">
        <f>MAX(G31,G35,G36,G37)</f>
        <v>46331</v>
      </c>
      <c r="H30" s="73" t="inlineStr">
        <is>
          <t>Bùi Như Quỳnh</t>
        </is>
      </c>
      <c r="I30" s="74" t="inlineStr">
        <is>
          <t>Pipeline nhận diện + chống giả mạo, mô hình đã huấn luyện</t>
        </is>
      </c>
      <c r="J30" s="10" t="n"/>
      <c r="K30" s="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13" t="n"/>
    </row>
    <row r="31" ht="18" customHeight="1" s="50">
      <c r="B31" s="6" t="n"/>
      <c r="C31" s="75" t="inlineStr">
        <is>
          <t>3.1. Pipeline nhận diện khuôn mặt</t>
        </is>
      </c>
      <c r="D31" s="70" t="n"/>
      <c r="E31" s="71" t="n"/>
      <c r="F31" s="72">
        <f>MIN(F32,F33,F34)</f>
        <v>46318</v>
      </c>
      <c r="G31" s="72">
        <f>MAX(G32,G33,G34)</f>
        <v>46324</v>
      </c>
      <c r="H31" s="73" t="inlineStr">
        <is>
          <t>Bùi Như Quỳnh</t>
        </is>
      </c>
      <c r="I31" s="74" t="inlineStr">
        <is>
          <t>Module nhận diện</t>
        </is>
      </c>
      <c r="J31" s="10" t="n"/>
      <c r="K31" s="6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13" t="n"/>
    </row>
    <row r="32" ht="18" customHeight="1" s="50">
      <c r="B32" s="6" t="n"/>
      <c r="C32" s="7" t="n"/>
      <c r="D32" s="75" t="inlineStr">
        <is>
          <t>3.1.1. Phát hiện và căn chỉnh khuôn mặt (SCRFD)</t>
        </is>
      </c>
      <c r="E32" s="71" t="n"/>
      <c r="F32" s="72" t="n">
        <v>46318</v>
      </c>
      <c r="G32" s="72" t="n">
        <v>46321</v>
      </c>
      <c r="H32" s="73" t="inlineStr">
        <is>
          <t>Bùi Như Quỳnh</t>
        </is>
      </c>
      <c r="I32" s="74" t="inlineStr">
        <is>
          <t>Ảnh mặt 112×112 đã căn chỉnh</t>
        </is>
      </c>
      <c r="J32" s="10" t="n"/>
      <c r="K32" s="6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13" t="n"/>
    </row>
    <row r="33" ht="18" customHeight="1" s="50">
      <c r="B33" s="6" t="n"/>
      <c r="C33" s="7" t="n"/>
      <c r="D33" s="75" t="inlineStr">
        <is>
          <t>3.1.2. Trích xuất embedding (ArcFace)</t>
        </is>
      </c>
      <c r="E33" s="71" t="n"/>
      <c r="F33" s="72" t="n">
        <v>46322</v>
      </c>
      <c r="G33" s="72" t="n">
        <v>46322</v>
      </c>
      <c r="H33" s="73" t="inlineStr">
        <is>
          <t>Bùi Như Quỳnh</t>
        </is>
      </c>
      <c r="I33" s="74" t="inlineStr">
        <is>
          <t>Vector 512 chiều</t>
        </is>
      </c>
      <c r="J33" s="10" t="n"/>
      <c r="K33" s="6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13" t="n"/>
    </row>
    <row r="34" ht="33" customHeight="1" s="50">
      <c r="B34" s="6" t="n"/>
      <c r="C34" s="7" t="n"/>
      <c r="D34" s="75" t="inlineStr">
        <is>
          <t>3.1.3. So khớp cosine, chọn ngưỡng trên validation</t>
        </is>
      </c>
      <c r="E34" s="71" t="n"/>
      <c r="F34" s="72" t="n">
        <v>46323</v>
      </c>
      <c r="G34" s="72" t="n">
        <v>46324</v>
      </c>
      <c r="H34" s="73" t="inlineStr">
        <is>
          <t>Bùi Như Quỳnh</t>
        </is>
      </c>
      <c r="I34" s="74" t="inlineStr">
        <is>
          <t>Ngưỡng tương đồng, FAR/FRR trên validation</t>
        </is>
      </c>
      <c r="J34" s="10" t="n"/>
      <c r="K34" s="6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13" t="n"/>
    </row>
    <row r="35" ht="18" customHeight="1" s="50">
      <c r="B35" s="6" t="n"/>
      <c r="C35" s="75" t="inlineStr">
        <is>
          <t>3.2. Huấn luyện k-NN, SVM trên embedding, so sánh với cosine</t>
        </is>
      </c>
      <c r="D35" s="70" t="n"/>
      <c r="E35" s="71" t="n"/>
      <c r="F35" s="72" t="n">
        <v>46324</v>
      </c>
      <c r="G35" s="72" t="n">
        <v>46325</v>
      </c>
      <c r="H35" s="73" t="inlineStr">
        <is>
          <t>Bùi Như Quỳnh</t>
        </is>
      </c>
      <c r="I35" s="74" t="inlineStr">
        <is>
          <t>Mô hình k-NN/SVM, bảng so sánh</t>
        </is>
      </c>
      <c r="J35" s="10" t="n"/>
      <c r="K35" s="6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13" t="n"/>
    </row>
    <row r="36" ht="33" customHeight="1" s="50">
      <c r="B36" s="6" t="n"/>
      <c r="C36" s="75" t="inlineStr">
        <is>
          <t>3.3. So sánh baseline: Haar Cascade (phát hiện), FaceNet (embedding) trên dữ liệu nhóm và LFW</t>
        </is>
      </c>
      <c r="D36" s="70" t="n"/>
      <c r="E36" s="71" t="n"/>
      <c r="F36" s="72" t="n">
        <v>46323</v>
      </c>
      <c r="G36" s="72" t="n">
        <v>46324</v>
      </c>
      <c r="H36" s="73" t="inlineStr">
        <is>
          <t>Trần Lâm Phong</t>
        </is>
      </c>
      <c r="I36" s="74" t="inlineStr">
        <is>
          <t>Bảng so sánh (tỷ lệ phát hiện, độ trễ, độ chính xác, FAR)</t>
        </is>
      </c>
      <c r="J36" s="10" t="n"/>
      <c r="K36" s="6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13" t="n"/>
    </row>
    <row r="37" ht="18" customHeight="1" s="50">
      <c r="B37" s="6" t="n"/>
      <c r="C37" s="75" t="inlineStr">
        <is>
          <t>3.4. Khối chống giả mạo</t>
        </is>
      </c>
      <c r="D37" s="70" t="n"/>
      <c r="E37" s="71" t="n"/>
      <c r="F37" s="72">
        <f>MIN(F38,F39)</f>
        <v>46328</v>
      </c>
      <c r="G37" s="72">
        <f>MAX(G38,G39)</f>
        <v>46331</v>
      </c>
      <c r="H37" s="73" t="inlineStr">
        <is>
          <t>Bùi Như Quỳnh</t>
        </is>
      </c>
      <c r="I37" s="74" t="inlineStr">
        <is>
          <t>Module liveness, tỷ lệ chặn giả mạo</t>
        </is>
      </c>
      <c r="J37" s="10" t="n"/>
      <c r="K37" s="6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13" t="n"/>
    </row>
    <row r="38" ht="33" customHeight="1" s="50">
      <c r="B38" s="6" t="n"/>
      <c r="C38" s="7" t="n"/>
      <c r="D38" s="75" t="inlineStr">
        <is>
          <t>3.4.1. Fine-tune MiniFASNet trên dữ liệu nhóm + CelebA-Spoof, early stopping</t>
        </is>
      </c>
      <c r="E38" s="71" t="n"/>
      <c r="F38" s="72" t="n">
        <v>46328</v>
      </c>
      <c r="G38" s="72" t="n">
        <v>46330</v>
      </c>
      <c r="H38" s="73" t="inlineStr">
        <is>
          <t>Bùi Như Quỳnh</t>
        </is>
      </c>
      <c r="I38" s="74" t="inlineStr">
        <is>
          <t>Mô hình đã fine-tune, đường cong loss train/validation</t>
        </is>
      </c>
      <c r="J38" s="10" t="n"/>
      <c r="K38" s="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13" t="n"/>
    </row>
    <row r="39" ht="33" customHeight="1" s="50">
      <c r="B39" s="6" t="n"/>
      <c r="C39" s="7" t="n"/>
      <c r="D39" s="75" t="inlineStr">
        <is>
          <t>3.4.2. Đánh giá chống giả mạo (APCER, BPCER); làm kiểm tra chớp mắt nếu chưa đạt</t>
        </is>
      </c>
      <c r="E39" s="71" t="n"/>
      <c r="F39" s="72" t="n">
        <v>46330</v>
      </c>
      <c r="G39" s="72" t="n">
        <v>46331</v>
      </c>
      <c r="H39" s="73" t="inlineStr">
        <is>
          <t>Bùi Như Quỳnh</t>
        </is>
      </c>
      <c r="I39" s="74" t="inlineStr">
        <is>
          <t>Bảng kết quả chống giả mạo</t>
        </is>
      </c>
      <c r="J39" s="10" t="n"/>
      <c r="K39" s="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13" t="n"/>
    </row>
    <row r="40" ht="33" customHeight="1" s="50">
      <c r="B40" s="69" t="inlineStr">
        <is>
          <t>4. Kiến trúc, CSDL và logic chấm công</t>
        </is>
      </c>
      <c r="C40" s="70" t="n"/>
      <c r="D40" s="70" t="n"/>
      <c r="E40" s="71" t="n"/>
      <c r="F40" s="72">
        <f>MIN(F41,F42,F43,F44,F45)</f>
        <v>46317</v>
      </c>
      <c r="G40" s="72">
        <f>MAX(G41,G42,G43,G44,G45)</f>
        <v>46330</v>
      </c>
      <c r="H40" s="73" t="inlineStr">
        <is>
          <t>Dương Tuấn Anh</t>
        </is>
      </c>
      <c r="I40" s="74" t="inlineStr">
        <is>
          <t>Sơ đồ hệ thống, CSDL, module chấm công</t>
        </is>
      </c>
      <c r="J40" s="10" t="n"/>
      <c r="K40" s="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13" t="n"/>
    </row>
    <row r="41" ht="18" customHeight="1" s="50">
      <c r="B41" s="6" t="n"/>
      <c r="C41" s="75" t="inlineStr">
        <is>
          <t>4.1. Thiết kế kiến trúc tổng thể, sơ đồ hệ thống</t>
        </is>
      </c>
      <c r="D41" s="70" t="n"/>
      <c r="E41" s="71" t="n"/>
      <c r="F41" s="72" t="n">
        <v>46317</v>
      </c>
      <c r="G41" s="72" t="n">
        <v>46318</v>
      </c>
      <c r="H41" s="73" t="inlineStr">
        <is>
          <t>Dương Tuấn Anh</t>
        </is>
      </c>
      <c r="I41" s="74" t="inlineStr">
        <is>
          <t>Sơ đồ hệ thống (mục 2.4 báo cáo)</t>
        </is>
      </c>
      <c r="J41" s="10" t="n"/>
      <c r="K41" s="6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13" t="n"/>
    </row>
    <row r="42" ht="33" customHeight="1" s="50">
      <c r="B42" s="6" t="n"/>
      <c r="C42" s="75" t="inlineStr">
        <is>
          <t>4.2. Thiết kế CSDL SQLite (nhân viên, embedding, ca làm, chấm công, log chỉnh sửa)</t>
        </is>
      </c>
      <c r="D42" s="70" t="n"/>
      <c r="E42" s="71" t="n"/>
      <c r="F42" s="72" t="n">
        <v>46321</v>
      </c>
      <c r="G42" s="72" t="n">
        <v>46322</v>
      </c>
      <c r="H42" s="73" t="inlineStr">
        <is>
          <t>Dương Tuấn Anh</t>
        </is>
      </c>
      <c r="I42" s="74" t="inlineStr">
        <is>
          <t>Sơ đồ CSDL</t>
        </is>
      </c>
      <c r="J42" s="10" t="n"/>
      <c r="K42" s="6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13" t="n"/>
    </row>
    <row r="43" ht="18" customHeight="1" s="50">
      <c r="B43" s="6" t="n"/>
      <c r="C43" s="75" t="inlineStr">
        <is>
          <t>4.3. Module đọc webcam, đưa khung hình vào pipeline</t>
        </is>
      </c>
      <c r="D43" s="70" t="n"/>
      <c r="E43" s="71" t="n"/>
      <c r="F43" s="72" t="n">
        <v>46323</v>
      </c>
      <c r="G43" s="72" t="n">
        <v>46323</v>
      </c>
      <c r="H43" s="73" t="inlineStr">
        <is>
          <t>Dương Tuấn Anh</t>
        </is>
      </c>
      <c r="I43" s="74" t="inlineStr">
        <is>
          <t>Luồng video vào hệ thống</t>
        </is>
      </c>
      <c r="J43" s="10" t="n"/>
      <c r="K43" s="6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13" t="n"/>
    </row>
    <row r="44" ht="33" customHeight="1" s="50">
      <c r="B44" s="6" t="n"/>
      <c r="C44" s="75" t="inlineStr">
        <is>
          <t>4.4. Module đăng ký nhân viên và nhận diện (nối pipeline với CSDL)</t>
        </is>
      </c>
      <c r="D44" s="70" t="n"/>
      <c r="E44" s="71" t="n"/>
      <c r="F44" s="72" t="n">
        <v>46324</v>
      </c>
      <c r="G44" s="72" t="n">
        <v>46325</v>
      </c>
      <c r="H44" s="73" t="inlineStr">
        <is>
          <t>Dương Tuấn Anh</t>
        </is>
      </c>
      <c r="I44" s="74" t="inlineStr">
        <is>
          <t>Hàm đăng ký/nhận diện dùng chung cho giao diện</t>
        </is>
      </c>
      <c r="J44" s="10" t="n"/>
      <c r="K44" s="6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13" t="n"/>
    </row>
    <row r="45" ht="33" customHeight="1" s="50" thickBot="1">
      <c r="B45" s="6" t="n"/>
      <c r="C45" s="75" t="inlineStr">
        <is>
          <t>4.5. Logic chấm công: xác nhận nhiều khung hình, chống ghi trùng, ca làm, đi muộn/về sớm</t>
        </is>
      </c>
      <c r="D45" s="70" t="n"/>
      <c r="E45" s="71" t="n"/>
      <c r="F45" s="72" t="n">
        <v>46328</v>
      </c>
      <c r="G45" s="72" t="n">
        <v>46330</v>
      </c>
      <c r="H45" s="73" t="inlineStr">
        <is>
          <t>Dương Tuấn Anh</t>
        </is>
      </c>
      <c r="I45" s="74" t="inlineStr">
        <is>
          <t>Module chấm công</t>
        </is>
      </c>
      <c r="J45" s="10" t="n"/>
      <c r="K45" s="6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13" t="n"/>
    </row>
    <row r="46" ht="33" customHeight="1" s="50">
      <c r="B46" s="69" t="inlineStr">
        <is>
          <t>5. Giao diện (Streamlit)</t>
        </is>
      </c>
      <c r="C46" s="70" t="n"/>
      <c r="D46" s="70" t="n"/>
      <c r="E46" s="71" t="n"/>
      <c r="F46" s="72">
        <f>MIN(F47,F48,F49)</f>
        <v>46325</v>
      </c>
      <c r="G46" s="72">
        <f>MAX(G47,G48,G49)</f>
        <v>46331</v>
      </c>
      <c r="H46" s="73" t="inlineStr">
        <is>
          <t>Trần Lâm Phong</t>
        </is>
      </c>
      <c r="I46" s="74" t="inlineStr">
        <is>
          <t>Màn hình chấm công, trang quản trị, kịch bản kiểm thử</t>
        </is>
      </c>
      <c r="J46" s="10" t="n"/>
      <c r="K46" s="6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13" t="n"/>
    </row>
    <row r="47" ht="33" customHeight="1" s="50">
      <c r="B47" s="6" t="n"/>
      <c r="C47" s="75" t="inlineStr">
        <is>
          <t>5.1. Wireframe và kịch bản kiểm thử (chức năng, độ chính xác, độ trễ, giả mạo)</t>
        </is>
      </c>
      <c r="D47" s="70" t="n"/>
      <c r="E47" s="71" t="n"/>
      <c r="F47" s="72" t="n">
        <v>46325</v>
      </c>
      <c r="G47" s="72" t="n">
        <v>46325</v>
      </c>
      <c r="H47" s="73" t="inlineStr">
        <is>
          <t>Trần Lâm Phong</t>
        </is>
      </c>
      <c r="I47" s="74" t="inlineStr">
        <is>
          <t>Wireframe, danh sách test case</t>
        </is>
      </c>
      <c r="J47" s="10" t="n"/>
      <c r="K47" s="6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13" t="n"/>
    </row>
    <row r="48" ht="18" customHeight="1" s="50">
      <c r="B48" s="6" t="n"/>
      <c r="C48" s="75" t="inlineStr">
        <is>
          <t>5.2. Màn hình chấm công (camera, kết quả, độ tương đồng, cảnh báo giả mạo)</t>
        </is>
      </c>
      <c r="D48" s="70" t="n"/>
      <c r="E48" s="71" t="n"/>
      <c r="F48" s="72" t="n">
        <v>46328</v>
      </c>
      <c r="G48" s="72" t="n">
        <v>46329</v>
      </c>
      <c r="H48" s="73" t="inlineStr">
        <is>
          <t>Trần Lâm Phong</t>
        </is>
      </c>
      <c r="I48" s="74" t="inlineStr">
        <is>
          <t>Màn hình chấm công</t>
        </is>
      </c>
      <c r="J48" s="10" t="n"/>
      <c r="K48" s="6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13" t="n"/>
    </row>
    <row r="49" ht="18" customHeight="1" s="50">
      <c r="B49" s="6" t="n"/>
      <c r="C49" s="75" t="inlineStr">
        <is>
          <t>5.3. Trang quản trị: đăng ký nhân viên, lịch sử, thống kê, xuất Excel</t>
        </is>
      </c>
      <c r="D49" s="70" t="n"/>
      <c r="E49" s="71" t="n"/>
      <c r="F49" s="72" t="n">
        <v>46329</v>
      </c>
      <c r="G49" s="72" t="n">
        <v>46331</v>
      </c>
      <c r="H49" s="73" t="inlineStr">
        <is>
          <t>Trần Lâm Phong</t>
        </is>
      </c>
      <c r="I49" s="74" t="inlineStr">
        <is>
          <t>Trang quản trị</t>
        </is>
      </c>
      <c r="J49" s="10" t="n"/>
      <c r="K49" s="6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13" t="n"/>
    </row>
    <row r="50" ht="33" customHeight="1" s="50">
      <c r="B50" s="69" t="inlineStr">
        <is>
          <t>6. Tích hợp, kiểm thử và phản hồi</t>
        </is>
      </c>
      <c r="C50" s="70" t="n"/>
      <c r="D50" s="70" t="n"/>
      <c r="E50" s="71" t="n"/>
      <c r="F50" s="72">
        <f>MIN(F51,F52,F53,F54,F55)</f>
        <v>46331</v>
      </c>
      <c r="G50" s="72">
        <f>MAX(G51,G52,G53,G54,G55)</f>
        <v>46338</v>
      </c>
      <c r="H50" s="73" t="inlineStr">
        <is>
          <t>Dương Tuấn Anh</t>
        </is>
      </c>
      <c r="I50" s="74" t="inlineStr">
        <is>
          <t>Hệ thống hoàn chỉnh, báo cáo kiểm thử, danh sách cải tiến</t>
        </is>
      </c>
      <c r="J50" s="10" t="n"/>
      <c r="K50" s="6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13" t="n"/>
    </row>
    <row r="51" ht="33" customHeight="1" s="50">
      <c r="B51" s="6" t="n"/>
      <c r="C51" s="75" t="inlineStr">
        <is>
          <t>6.1. Tích hợp toàn hệ thống, tối ưu độ trễ (&lt; 1 giây/lượt), demo end-to-end</t>
        </is>
      </c>
      <c r="D51" s="70" t="n"/>
      <c r="E51" s="71" t="n"/>
      <c r="F51" s="72" t="n">
        <v>46331</v>
      </c>
      <c r="G51" s="72" t="n">
        <v>46332</v>
      </c>
      <c r="H51" s="73" t="inlineStr">
        <is>
          <t>Dương Tuấn Anh, Bùi Như Quỳnh</t>
        </is>
      </c>
      <c r="I51" s="74" t="inlineStr">
        <is>
          <t>Bản demo chạy từ đầu đến cuối, số đo ms/khung hình</t>
        </is>
      </c>
      <c r="J51" s="10" t="n"/>
      <c r="K51" s="6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13" t="n"/>
    </row>
    <row r="52" ht="33" customHeight="1" s="50">
      <c r="B52" s="6" t="n"/>
      <c r="C52" s="75" t="inlineStr">
        <is>
          <t>6.2. Dự phòng: sửa lỗi tích hợp, quay lại Modeling nếu chưa đạt mục tiêu trên validation</t>
        </is>
      </c>
      <c r="D52" s="70" t="n"/>
      <c r="E52" s="71" t="n"/>
      <c r="F52" s="72" t="n">
        <v>46335</v>
      </c>
      <c r="G52" s="72" t="n">
        <v>46335</v>
      </c>
      <c r="H52" s="73" t="inlineStr">
        <is>
          <t>Cả nhóm</t>
        </is>
      </c>
      <c r="I52" s="74" t="inlineStr">
        <is>
          <t>Bản sửa lỗi, ghi chú vòng lặp</t>
        </is>
      </c>
      <c r="J52" s="10" t="n"/>
      <c r="K52" s="6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13" t="n"/>
    </row>
    <row r="53" ht="33" customHeight="1" s="50">
      <c r="B53" s="6" t="n"/>
      <c r="C53" s="75" t="inlineStr">
        <is>
          <t>6.3. Dùng thử thực tế 4 ngày, ghi log nhận sai/nhận chậm/chặn nhầm, tinh chỉnh ngưỡng và dữ liệu</t>
        </is>
      </c>
      <c r="D53" s="70" t="n"/>
      <c r="E53" s="71" t="n"/>
      <c r="F53" s="72" t="n">
        <v>46335</v>
      </c>
      <c r="G53" s="72" t="n">
        <v>46338</v>
      </c>
      <c r="H53" s="73" t="inlineStr">
        <is>
          <t>Cả nhóm</t>
        </is>
      </c>
      <c r="I53" s="74" t="inlineStr">
        <is>
          <t>Danh sách lỗi và cải tiến</t>
        </is>
      </c>
      <c r="J53" s="10" t="n"/>
      <c r="K53" s="6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13" t="n"/>
    </row>
    <row r="54" ht="33" customHeight="1" s="50">
      <c r="B54" s="6" t="n"/>
      <c r="C54" s="75" t="inlineStr">
        <is>
          <t>6.4. Kiểm thử trên tập test (rank-1, FAR, FRR, TAR@FAR, APCER, BPCER, độ trễ)</t>
        </is>
      </c>
      <c r="D54" s="70" t="n"/>
      <c r="E54" s="71" t="n"/>
      <c r="F54" s="72" t="n">
        <v>46336</v>
      </c>
      <c r="G54" s="72" t="n">
        <v>46336</v>
      </c>
      <c r="H54" s="73" t="inlineStr">
        <is>
          <t>Trần Lâm Phong, Bùi Như Quỳnh</t>
        </is>
      </c>
      <c r="I54" s="74" t="inlineStr">
        <is>
          <t>Bảng kết quả kiểm thử</t>
        </is>
      </c>
      <c r="J54" s="10" t="n"/>
      <c r="K54" s="6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13" t="n"/>
    </row>
    <row r="55" ht="18" customHeight="1" s="50">
      <c r="B55" s="6" t="n"/>
      <c r="C55" s="75" t="inlineStr">
        <is>
          <t>6.5. Kiểm tra công bằng theo nhóm (giới tính, kính, khẩu trang, ánh sáng)</t>
        </is>
      </c>
      <c r="D55" s="70" t="n"/>
      <c r="E55" s="71" t="n"/>
      <c r="F55" s="72" t="n">
        <v>46337</v>
      </c>
      <c r="G55" s="72" t="n">
        <v>46337</v>
      </c>
      <c r="H55" s="73" t="inlineStr">
        <is>
          <t>Trần Lâm Phong</t>
        </is>
      </c>
      <c r="I55" s="74" t="inlineStr">
        <is>
          <t>Kết quả theo từng nhóm</t>
        </is>
      </c>
      <c r="J55" s="10" t="n"/>
      <c r="K55" s="6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13" t="n"/>
    </row>
    <row r="56" ht="18" customHeight="1" s="50">
      <c r="B56" s="69" t="inlineStr">
        <is>
          <t>7. Báo cáo và thuyết trình</t>
        </is>
      </c>
      <c r="C56" s="70" t="n"/>
      <c r="D56" s="70" t="n"/>
      <c r="E56" s="71" t="n"/>
      <c r="F56" s="72">
        <f>MIN(F57,F58,F59)</f>
        <v>46336</v>
      </c>
      <c r="G56" s="72">
        <f>MAX(G57,G58,G59)</f>
        <v>46339</v>
      </c>
      <c r="H56" s="73" t="inlineStr">
        <is>
          <t>Dương Tuấn Anh</t>
        </is>
      </c>
      <c r="I56" s="74" t="inlineStr">
        <is>
          <t>Báo cáo, slide, video demo</t>
        </is>
      </c>
      <c r="J56" s="10" t="n"/>
      <c r="K56" s="6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13" t="n"/>
    </row>
    <row r="57" ht="18" customHeight="1" s="50">
      <c r="B57" s="6" t="n"/>
      <c r="C57" s="75" t="inlineStr">
        <is>
          <t>7.1. Viết báo cáo cuối kỳ</t>
        </is>
      </c>
      <c r="D57" s="70" t="n"/>
      <c r="E57" s="71" t="n"/>
      <c r="F57" s="72" t="n">
        <v>46336</v>
      </c>
      <c r="G57" s="72" t="n">
        <v>46338</v>
      </c>
      <c r="H57" s="73" t="inlineStr">
        <is>
          <t>Dương Tuấn Anh, Cả nhóm</t>
        </is>
      </c>
      <c r="I57" s="74" t="inlineStr">
        <is>
          <t>project-final-report.md</t>
        </is>
      </c>
      <c r="J57" s="10" t="n"/>
      <c r="K57" s="6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13" t="n"/>
    </row>
    <row r="58" ht="18" customHeight="1" s="50">
      <c r="B58" s="6" t="n"/>
      <c r="C58" s="75" t="inlineStr">
        <is>
          <t>7.2. Làm slide và quay video demo</t>
        </is>
      </c>
      <c r="D58" s="70" t="n"/>
      <c r="E58" s="71" t="n"/>
      <c r="F58" s="72" t="n">
        <v>46337</v>
      </c>
      <c r="G58" s="72" t="n">
        <v>46338</v>
      </c>
      <c r="H58" s="73" t="inlineStr">
        <is>
          <t>Bùi Như Quỳnh</t>
        </is>
      </c>
      <c r="I58" s="74" t="inlineStr">
        <is>
          <t>Slide, video demo</t>
        </is>
      </c>
      <c r="J58" s="10" t="n"/>
      <c r="K58" s="6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13" t="n"/>
    </row>
    <row r="59" ht="18" customHeight="1" s="50">
      <c r="B59" s="21" t="n"/>
      <c r="C59" s="76" t="inlineStr">
        <is>
          <t>7.3. Tập demo và nộp bài</t>
        </is>
      </c>
      <c r="D59" s="77" t="n"/>
      <c r="E59" s="78" t="n"/>
      <c r="F59" s="79" t="n">
        <v>46339</v>
      </c>
      <c r="G59" s="79" t="n">
        <v>46339</v>
      </c>
      <c r="H59" s="80" t="inlineStr">
        <is>
          <t>Cả nhóm</t>
        </is>
      </c>
      <c r="I59" s="80" t="inlineStr">
        <is>
          <t>Bài nộp hoàn chỉnh</t>
        </is>
      </c>
      <c r="J59" s="25" t="n"/>
      <c r="K59" s="21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6" t="n"/>
    </row>
    <row r="61">
      <c r="B61" s="81" t="inlineStr">
        <is>
          <t>Ghi chú về thứ tự phụ thuộc:</t>
        </is>
      </c>
    </row>
    <row r="62" ht="33" customHeight="1" s="50">
      <c r="B62" s="82" t="inlineStr">
        <is>
          <t>• Trọng số SCRFD và ArcFace được tải từ 21/10 (task 2.2.2), nên bước làm sạch (2.3) dùng được detector có sẵn để loại ảnh không thấy mặt, và EDA (2.4) vẽ được t-SNE trước khi pipeline 3.1 hoàn thiện.</t>
        </is>
      </c>
    </row>
    <row r="63" ht="18" customHeight="1" s="50">
      <c r="B63" s="82" t="inlineStr">
        <is>
          <t>• Dữ liệu buổi A dùng cho đăng ký và validation, buổi B chỉ dùng cho kiểm thử cuối (6.4). Tập test không được dùng để chọn ngưỡng hay siêu tham số.</t>
        </is>
      </c>
    </row>
    <row r="64" ht="18" customHeight="1" s="50">
      <c r="B64" s="82" t="inlineStr">
        <is>
          <t>• Module webcam (4.3) và module đăng ký/nhận diện (4.4) xong trước 02/11 để giao diện (5.2, 5.3) gọi trực tiếp, không cần backend API riêng.</t>
        </is>
      </c>
    </row>
    <row r="65" ht="33" customHeight="1" s="50">
      <c r="B65" s="82" t="inlineStr">
        <is>
          <t>• Ngày 09/11 (6.2) để trống cho vòng lặp Evaluation → Modeling của quy trình 10 bước: nếu sau tích hợp chưa đạt mục tiêu thì sửa lỗi hoặc quay lại mô hình trước khi chạy tập test.</t>
        </is>
      </c>
    </row>
    <row r="66" ht="18" customHeight="1" s="50">
      <c r="B66" s="83" t="inlineStr">
        <is>
          <t>Lịch dự kiến 19/10/2026 – 13/11/2026 (chỉ tính ngày làm việc thứ 2 – thứ 6), cần chỉnh lại theo lịch thực tế của lớp.</t>
        </is>
      </c>
    </row>
  </sheetData>
  <mergeCells count="61">
    <mergeCell ref="C16:E16"/>
    <mergeCell ref="C54:E54"/>
    <mergeCell ref="B40:E40"/>
    <mergeCell ref="C44:E44"/>
    <mergeCell ref="C41:E41"/>
    <mergeCell ref="B62:I62"/>
    <mergeCell ref="C55:E55"/>
    <mergeCell ref="C31:E31"/>
    <mergeCell ref="D34:E34"/>
    <mergeCell ref="Z11:AD11"/>
    <mergeCell ref="B30:E30"/>
    <mergeCell ref="B63:I63"/>
    <mergeCell ref="B66:I66"/>
    <mergeCell ref="D22:E22"/>
    <mergeCell ref="C59:E59"/>
    <mergeCell ref="C43:E43"/>
    <mergeCell ref="C51:E51"/>
    <mergeCell ref="D21:E21"/>
    <mergeCell ref="C36:E36"/>
    <mergeCell ref="B50:E50"/>
    <mergeCell ref="K11:O11"/>
    <mergeCell ref="C52:E52"/>
    <mergeCell ref="C23:E23"/>
    <mergeCell ref="D27:E27"/>
    <mergeCell ref="U11:Y11"/>
    <mergeCell ref="P11:T11"/>
    <mergeCell ref="C48:E48"/>
    <mergeCell ref="C17:E17"/>
    <mergeCell ref="D32:E32"/>
    <mergeCell ref="F11:F13"/>
    <mergeCell ref="D26:E26"/>
    <mergeCell ref="B46:E46"/>
    <mergeCell ref="B56:E56"/>
    <mergeCell ref="C28:E28"/>
    <mergeCell ref="C57:E57"/>
    <mergeCell ref="C37:E37"/>
    <mergeCell ref="C53:E53"/>
    <mergeCell ref="G11:G13"/>
    <mergeCell ref="I11:I13"/>
    <mergeCell ref="C18:E18"/>
    <mergeCell ref="C49:E49"/>
    <mergeCell ref="B11:E13"/>
    <mergeCell ref="C15:E15"/>
    <mergeCell ref="B65:I65"/>
    <mergeCell ref="B14:E14"/>
    <mergeCell ref="D39:E39"/>
    <mergeCell ref="D25:E25"/>
    <mergeCell ref="C42:E42"/>
    <mergeCell ref="C58:E58"/>
    <mergeCell ref="D24:E24"/>
    <mergeCell ref="B64:I64"/>
    <mergeCell ref="D33:E33"/>
    <mergeCell ref="C45:E45"/>
    <mergeCell ref="H11:H13"/>
    <mergeCell ref="D38:E38"/>
    <mergeCell ref="J11:J13"/>
    <mergeCell ref="B19:E19"/>
    <mergeCell ref="C29:E29"/>
    <mergeCell ref="C20:E20"/>
    <mergeCell ref="C35:E35"/>
    <mergeCell ref="C47:E47"/>
  </mergeCells>
  <conditionalFormatting sqref="K14:AD14">
    <cfRule type="expression" priority="1" dxfId="0" stopIfTrue="0">
      <formula>AND(K$13&gt;=$F14,K$13&lt;=$G14)</formula>
    </cfRule>
  </conditionalFormatting>
  <conditionalFormatting sqref="K15:AD15">
    <cfRule type="expression" priority="2" dxfId="1" stopIfTrue="0">
      <formula>AND(K$13&gt;=$F15,K$13&lt;=$G15)</formula>
    </cfRule>
  </conditionalFormatting>
  <conditionalFormatting sqref="K16:AD16">
    <cfRule type="expression" priority="3" dxfId="1" stopIfTrue="0">
      <formula>AND(K$13&gt;=$F16,K$13&lt;=$G16)</formula>
    </cfRule>
  </conditionalFormatting>
  <conditionalFormatting sqref="K17:AD17">
    <cfRule type="expression" priority="4" dxfId="1" stopIfTrue="0">
      <formula>AND(K$13&gt;=$F17,K$13&lt;=$G17)</formula>
    </cfRule>
  </conditionalFormatting>
  <conditionalFormatting sqref="K18:AD18">
    <cfRule type="expression" priority="5" dxfId="1" stopIfTrue="0">
      <formula>AND(K$13&gt;=$F18,K$13&lt;=$G18)</formula>
    </cfRule>
  </conditionalFormatting>
  <conditionalFormatting sqref="K19:AD19">
    <cfRule type="expression" priority="6" dxfId="0" stopIfTrue="0">
      <formula>AND(K$13&gt;=$F19,K$13&lt;=$G19)</formula>
    </cfRule>
  </conditionalFormatting>
  <conditionalFormatting sqref="K20:AD20">
    <cfRule type="expression" priority="7" dxfId="1" stopIfTrue="0">
      <formula>AND(K$13&gt;=$F20,K$13&lt;=$G20)</formula>
    </cfRule>
  </conditionalFormatting>
  <conditionalFormatting sqref="K21:AD21">
    <cfRule type="expression" priority="8" dxfId="2" stopIfTrue="0">
      <formula>AND(K$13&gt;=$F21,K$13&lt;=$G21)</formula>
    </cfRule>
  </conditionalFormatting>
  <conditionalFormatting sqref="K22:AD22">
    <cfRule type="expression" priority="9" dxfId="2" stopIfTrue="0">
      <formula>AND(K$13&gt;=$F22,K$13&lt;=$G22)</formula>
    </cfRule>
  </conditionalFormatting>
  <conditionalFormatting sqref="K23:AD23">
    <cfRule type="expression" priority="10" dxfId="1" stopIfTrue="0">
      <formula>AND(K$13&gt;=$F23,K$13&lt;=$G23)</formula>
    </cfRule>
  </conditionalFormatting>
  <conditionalFormatting sqref="K24:AD24">
    <cfRule type="expression" priority="11" dxfId="2" stopIfTrue="0">
      <formula>AND(K$13&gt;=$F24,K$13&lt;=$G24)</formula>
    </cfRule>
  </conditionalFormatting>
  <conditionalFormatting sqref="K25:AD25">
    <cfRule type="expression" priority="12" dxfId="2" stopIfTrue="0">
      <formula>AND(K$13&gt;=$F25,K$13&lt;=$G25)</formula>
    </cfRule>
  </conditionalFormatting>
  <conditionalFormatting sqref="K26:AD26">
    <cfRule type="expression" priority="13" dxfId="2" stopIfTrue="0">
      <formula>AND(K$13&gt;=$F26,K$13&lt;=$G26)</formula>
    </cfRule>
  </conditionalFormatting>
  <conditionalFormatting sqref="K27:AD27">
    <cfRule type="expression" priority="14" dxfId="2" stopIfTrue="0">
      <formula>AND(K$13&gt;=$F27,K$13&lt;=$G27)</formula>
    </cfRule>
  </conditionalFormatting>
  <conditionalFormatting sqref="K28:AD28">
    <cfRule type="expression" priority="15" dxfId="1" stopIfTrue="0">
      <formula>AND(K$13&gt;=$F28,K$13&lt;=$G28)</formula>
    </cfRule>
  </conditionalFormatting>
  <conditionalFormatting sqref="K29:AD29">
    <cfRule type="expression" priority="16" dxfId="1" stopIfTrue="0">
      <formula>AND(K$13&gt;=$F29,K$13&lt;=$G29)</formula>
    </cfRule>
  </conditionalFormatting>
  <conditionalFormatting sqref="K30:AD30">
    <cfRule type="expression" priority="17" dxfId="0" stopIfTrue="0">
      <formula>AND(K$13&gt;=$F30,K$13&lt;=$G30)</formula>
    </cfRule>
  </conditionalFormatting>
  <conditionalFormatting sqref="K31:AD31">
    <cfRule type="expression" priority="18" dxfId="1" stopIfTrue="0">
      <formula>AND(K$13&gt;=$F31,K$13&lt;=$G31)</formula>
    </cfRule>
  </conditionalFormatting>
  <conditionalFormatting sqref="K32:AD32">
    <cfRule type="expression" priority="19" dxfId="2" stopIfTrue="0">
      <formula>AND(K$13&gt;=$F32,K$13&lt;=$G32)</formula>
    </cfRule>
  </conditionalFormatting>
  <conditionalFormatting sqref="K33:AD33">
    <cfRule type="expression" priority="20" dxfId="2" stopIfTrue="0">
      <formula>AND(K$13&gt;=$F33,K$13&lt;=$G33)</formula>
    </cfRule>
  </conditionalFormatting>
  <conditionalFormatting sqref="K34:AD34">
    <cfRule type="expression" priority="21" dxfId="2" stopIfTrue="0">
      <formula>AND(K$13&gt;=$F34,K$13&lt;=$G34)</formula>
    </cfRule>
  </conditionalFormatting>
  <conditionalFormatting sqref="K35:AD35">
    <cfRule type="expression" priority="22" dxfId="1" stopIfTrue="0">
      <formula>AND(K$13&gt;=$F35,K$13&lt;=$G35)</formula>
    </cfRule>
  </conditionalFormatting>
  <conditionalFormatting sqref="K36:AD36">
    <cfRule type="expression" priority="23" dxfId="1" stopIfTrue="0">
      <formula>AND(K$13&gt;=$F36,K$13&lt;=$G36)</formula>
    </cfRule>
  </conditionalFormatting>
  <conditionalFormatting sqref="K37:AD37">
    <cfRule type="expression" priority="24" dxfId="1" stopIfTrue="0">
      <formula>AND(K$13&gt;=$F37,K$13&lt;=$G37)</formula>
    </cfRule>
  </conditionalFormatting>
  <conditionalFormatting sqref="K38:AD38">
    <cfRule type="expression" priority="25" dxfId="2" stopIfTrue="0">
      <formula>AND(K$13&gt;=$F38,K$13&lt;=$G38)</formula>
    </cfRule>
  </conditionalFormatting>
  <conditionalFormatting sqref="K39:AD39">
    <cfRule type="expression" priority="26" dxfId="2" stopIfTrue="0">
      <formula>AND(K$13&gt;=$F39,K$13&lt;=$G39)</formula>
    </cfRule>
  </conditionalFormatting>
  <conditionalFormatting sqref="K40:AD40">
    <cfRule type="expression" priority="27" dxfId="0" stopIfTrue="0">
      <formula>AND(K$13&gt;=$F40,K$13&lt;=$G40)</formula>
    </cfRule>
  </conditionalFormatting>
  <conditionalFormatting sqref="K41:AD41">
    <cfRule type="expression" priority="28" dxfId="1" stopIfTrue="0">
      <formula>AND(K$13&gt;=$F41,K$13&lt;=$G41)</formula>
    </cfRule>
  </conditionalFormatting>
  <conditionalFormatting sqref="K42:AD42">
    <cfRule type="expression" priority="29" dxfId="1" stopIfTrue="0">
      <formula>AND(K$13&gt;=$F42,K$13&lt;=$G42)</formula>
    </cfRule>
  </conditionalFormatting>
  <conditionalFormatting sqref="K43:AD43">
    <cfRule type="expression" priority="30" dxfId="1" stopIfTrue="0">
      <formula>AND(K$13&gt;=$F43,K$13&lt;=$G43)</formula>
    </cfRule>
  </conditionalFormatting>
  <conditionalFormatting sqref="K44:AD44">
    <cfRule type="expression" priority="31" dxfId="1" stopIfTrue="0">
      <formula>AND(K$13&gt;=$F44,K$13&lt;=$G44)</formula>
    </cfRule>
  </conditionalFormatting>
  <conditionalFormatting sqref="K45:AD45">
    <cfRule type="expression" priority="32" dxfId="1" stopIfTrue="0">
      <formula>AND(K$13&gt;=$F45,K$13&lt;=$G45)</formula>
    </cfRule>
  </conditionalFormatting>
  <conditionalFormatting sqref="K46:AD46">
    <cfRule type="expression" priority="33" dxfId="0" stopIfTrue="0">
      <formula>AND(K$13&gt;=$F46,K$13&lt;=$G46)</formula>
    </cfRule>
  </conditionalFormatting>
  <conditionalFormatting sqref="K47:AD47">
    <cfRule type="expression" priority="34" dxfId="1" stopIfTrue="0">
      <formula>AND(K$13&gt;=$F47,K$13&lt;=$G47)</formula>
    </cfRule>
  </conditionalFormatting>
  <conditionalFormatting sqref="K48:AD48">
    <cfRule type="expression" priority="35" dxfId="1" stopIfTrue="0">
      <formula>AND(K$13&gt;=$F48,K$13&lt;=$G48)</formula>
    </cfRule>
  </conditionalFormatting>
  <conditionalFormatting sqref="K49:AD49">
    <cfRule type="expression" priority="36" dxfId="1" stopIfTrue="0">
      <formula>AND(K$13&gt;=$F49,K$13&lt;=$G49)</formula>
    </cfRule>
  </conditionalFormatting>
  <conditionalFormatting sqref="K50:AD50">
    <cfRule type="expression" priority="37" dxfId="0" stopIfTrue="0">
      <formula>AND(K$13&gt;=$F50,K$13&lt;=$G50)</formula>
    </cfRule>
  </conditionalFormatting>
  <conditionalFormatting sqref="K51:AD51">
    <cfRule type="expression" priority="38" dxfId="1" stopIfTrue="0">
      <formula>AND(K$13&gt;=$F51,K$13&lt;=$G51)</formula>
    </cfRule>
  </conditionalFormatting>
  <conditionalFormatting sqref="K52:AD52">
    <cfRule type="expression" priority="39" dxfId="1" stopIfTrue="0">
      <formula>AND(K$13&gt;=$F52,K$13&lt;=$G52)</formula>
    </cfRule>
  </conditionalFormatting>
  <conditionalFormatting sqref="K53:AD53">
    <cfRule type="expression" priority="40" dxfId="1" stopIfTrue="0">
      <formula>AND(K$13&gt;=$F53,K$13&lt;=$G53)</formula>
    </cfRule>
  </conditionalFormatting>
  <conditionalFormatting sqref="K54:AD54">
    <cfRule type="expression" priority="41" dxfId="1" stopIfTrue="0">
      <formula>AND(K$13&gt;=$F54,K$13&lt;=$G54)</formula>
    </cfRule>
  </conditionalFormatting>
  <conditionalFormatting sqref="K55:AD55">
    <cfRule type="expression" priority="42" dxfId="1" stopIfTrue="0">
      <formula>AND(K$13&gt;=$F55,K$13&lt;=$G55)</formula>
    </cfRule>
  </conditionalFormatting>
  <conditionalFormatting sqref="K56:AD56">
    <cfRule type="expression" priority="43" dxfId="0" stopIfTrue="0">
      <formula>AND(K$13&gt;=$F56,K$13&lt;=$G56)</formula>
    </cfRule>
  </conditionalFormatting>
  <conditionalFormatting sqref="K57:AD57">
    <cfRule type="expression" priority="44" dxfId="1" stopIfTrue="0">
      <formula>AND(K$13&gt;=$F57,K$13&lt;=$G57)</formula>
    </cfRule>
  </conditionalFormatting>
  <conditionalFormatting sqref="K58:AD58">
    <cfRule type="expression" priority="45" dxfId="1" stopIfTrue="0">
      <formula>AND(K$13&gt;=$F58,K$13&lt;=$G58)</formula>
    </cfRule>
  </conditionalFormatting>
  <conditionalFormatting sqref="K59:AD59">
    <cfRule type="expression" priority="46" dxfId="1" stopIfTrue="0">
      <formula>AND(K$13&gt;=$F59,K$13&lt;=$G59)</formula>
    </cfRule>
  </conditionalFormatting>
  <dataValidations count="1">
    <dataValidation sqref="J14:J59" showDropDown="0" showInputMessage="1" showErrorMessage="1" allowBlank="1" type="list">
      <formula1>$J$3:$J$5</formula1>
    </dataValidation>
  </dataValidations>
  <pageMargins left="0.25" right="0.25" top="0.75" bottom="0.75" header="0.3" footer="0.3"/>
  <pageSetup orientation="landscape" paperSize="9" scale="60" fitToHeight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Joonwon LEE</dc:creator>
  <dc:title xmlns:dc="http://purl.org/dc/elements/1.1/">WBS - Hệ thống chấm công thông minh bằng nhận diện khuôn mặt</dc:title>
  <dcterms:created xmlns:dcterms="http://purl.org/dc/terms/" xmlns:xsi="http://www.w3.org/2001/XMLSchema-instance" xsi:type="dcterms:W3CDTF">2019-08-06T06:11:52Z</dcterms:created>
  <dcterms:modified xmlns:dcterms="http://purl.org/dc/terms/" xmlns:xsi="http://www.w3.org/2001/XMLSchema-instance" xsi:type="dcterms:W3CDTF">2026-10-13T15:23:34Z</dcterms:modified>
  <cp:lastModifiedBy>Ha Thanh</cp:lastModifiedBy>
  <cp:lastPrinted>2019-10-15T07:56:00Z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0x010100EB971F96850C604FA9DD4A6FAA1D7E94</vt:lpwstr>
  </property>
</Properties>
</file>